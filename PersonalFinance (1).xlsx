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5E946B111544A36/Documents/"/>
    </mc:Choice>
  </mc:AlternateContent>
  <xr:revisionPtr revIDLastSave="0" documentId="8_{96FD91F6-5D82-4DCE-B8CD-9122AFA784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s" sheetId="1" r:id="rId1"/>
    <sheet name="Budget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1" l="1"/>
  <c r="C6" i="2"/>
  <c r="D6" i="2" s="1"/>
  <c r="C5" i="2"/>
  <c r="D5" i="2" s="1"/>
  <c r="C4" i="2"/>
  <c r="D4" i="2" s="1"/>
  <c r="C3" i="2"/>
  <c r="D3" i="2" s="1"/>
  <c r="C2" i="2"/>
  <c r="D2" i="2" s="1"/>
</calcChain>
</file>

<file path=xl/sharedStrings.xml><?xml version="1.0" encoding="utf-8"?>
<sst xmlns="http://schemas.openxmlformats.org/spreadsheetml/2006/main" count="76" uniqueCount="37">
  <si>
    <t>Date</t>
  </si>
  <si>
    <t>Category</t>
  </si>
  <si>
    <t>ExpenseDetail</t>
  </si>
  <si>
    <t>Amount</t>
  </si>
  <si>
    <t>Payment Method</t>
  </si>
  <si>
    <t>Food</t>
  </si>
  <si>
    <t>Lunch</t>
  </si>
  <si>
    <t>Cash</t>
  </si>
  <si>
    <t>Travel</t>
  </si>
  <si>
    <t>Bus</t>
  </si>
  <si>
    <t>UPI</t>
  </si>
  <si>
    <t>Fees</t>
  </si>
  <si>
    <t>College</t>
  </si>
  <si>
    <t>Card</t>
  </si>
  <si>
    <t>Shopping</t>
  </si>
  <si>
    <t>Clothes</t>
  </si>
  <si>
    <t>Other</t>
  </si>
  <si>
    <t>Books</t>
  </si>
  <si>
    <t>Dinner</t>
  </si>
  <si>
    <t>Auto</t>
  </si>
  <si>
    <t>Snacks</t>
  </si>
  <si>
    <t>Shoes</t>
  </si>
  <si>
    <t>Exam</t>
  </si>
  <si>
    <t>Breakfast</t>
  </si>
  <si>
    <t>Train</t>
  </si>
  <si>
    <t>Stationery</t>
  </si>
  <si>
    <t>Groceries</t>
  </si>
  <si>
    <t>Bag</t>
  </si>
  <si>
    <t>Library</t>
  </si>
  <si>
    <t>Cab</t>
  </si>
  <si>
    <t>Gift</t>
  </si>
  <si>
    <t>Party</t>
  </si>
  <si>
    <t>Budget</t>
  </si>
  <si>
    <t>Actual</t>
  </si>
  <si>
    <t>Difference</t>
  </si>
  <si>
    <t xml:space="preserve">    </t>
  </si>
  <si>
    <t>Complete Personal Financial Planner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</si>
</sst>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22"/>
      <color theme="1"/>
      <name val="Calibri"/>
      <family val="2"/>
      <scheme val="minor"/>
    </font>
    <font>
      <u val="double"/>
      <sz val="22"/>
      <color theme="1"/>
      <name val="Calibri"/>
      <family val="2"/>
      <scheme val="minor"/>
    </font>
    <font>
      <u val="double"/>
      <sz val="24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Budget!$A$2:$A$6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Fees</c:v>
                </c:pt>
                <c:pt idx="3">
                  <c:v>Shopping</c:v>
                </c:pt>
                <c:pt idx="4">
                  <c:v>Other</c:v>
                </c:pt>
              </c:strCache>
            </c:strRef>
          </c:cat>
          <c:val>
            <c:numRef>
              <c:f>Budget!$C$2:$C$6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E-4F90-B9BB-DEEC11E23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Budget!$B$1</c:f>
              <c:strCache>
                <c:ptCount val="1"/>
                <c:pt idx="0">
                  <c:v>Budget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Budget!$B$2:$B$6</c:f>
              <c:numCache>
                <c:formatCode>General</c:formatCode>
                <c:ptCount val="5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  <c:pt idx="3">
                  <c:v>3000</c:v>
                </c:pt>
                <c:pt idx="4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7-4CAB-B034-B7FBAEC07A08}"/>
            </c:ext>
          </c:extLst>
        </c:ser>
        <c:ser>
          <c:idx val="1"/>
          <c:order val="1"/>
          <c:tx>
            <c:strRef>
              <c:f>Budget!$C$1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Budget!$C$2:$C$6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67-4CAB-B034-B7FBAEC07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0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9"/>
  <sheetViews>
    <sheetView tabSelected="1" workbookViewId="0">
      <selection activeCell="H30" sqref="H30"/>
    </sheetView>
  </sheetViews>
  <sheetFormatPr defaultRowHeight="14.4" x14ac:dyDescent="0.3"/>
  <cols>
    <col min="8" max="8" width="10.33203125" bestFit="1" customWidth="1"/>
    <col min="12" max="12" width="22.77734375" customWidth="1"/>
  </cols>
  <sheetData>
    <row r="2" spans="1:15" x14ac:dyDescent="0.3">
      <c r="A2" s="1"/>
    </row>
    <row r="3" spans="1:15" x14ac:dyDescent="0.3">
      <c r="A3" s="1"/>
    </row>
    <row r="4" spans="1:15" ht="31.2" x14ac:dyDescent="0.6">
      <c r="A4" s="1"/>
      <c r="F4" s="2" t="s">
        <v>35</v>
      </c>
      <c r="H4" s="3" t="s">
        <v>36</v>
      </c>
      <c r="I4" s="4"/>
      <c r="J4" s="4"/>
      <c r="K4" s="3"/>
      <c r="L4" s="4"/>
      <c r="M4" s="5"/>
      <c r="N4" s="6"/>
      <c r="O4" s="6"/>
    </row>
    <row r="5" spans="1:15" x14ac:dyDescent="0.3">
      <c r="A5" s="1"/>
    </row>
    <row r="6" spans="1:15" x14ac:dyDescent="0.3">
      <c r="A6" s="1"/>
    </row>
    <row r="7" spans="1:15" x14ac:dyDescent="0.3">
      <c r="A7" s="1"/>
      <c r="H7" t="s">
        <v>0</v>
      </c>
      <c r="I7" t="s">
        <v>1</v>
      </c>
      <c r="J7" t="s">
        <v>2</v>
      </c>
      <c r="K7" t="s">
        <v>3</v>
      </c>
      <c r="L7" t="s">
        <v>4</v>
      </c>
    </row>
    <row r="8" spans="1:15" x14ac:dyDescent="0.3">
      <c r="A8" s="1"/>
      <c r="H8" s="1">
        <v>45658</v>
      </c>
      <c r="I8" t="s">
        <v>5</v>
      </c>
      <c r="J8" t="s">
        <v>6</v>
      </c>
      <c r="K8">
        <v>500</v>
      </c>
      <c r="L8" t="s">
        <v>7</v>
      </c>
    </row>
    <row r="9" spans="1:15" x14ac:dyDescent="0.3">
      <c r="A9" s="1"/>
      <c r="H9" s="1">
        <v>45659</v>
      </c>
      <c r="I9" t="s">
        <v>8</v>
      </c>
      <c r="J9" t="s">
        <v>9</v>
      </c>
      <c r="K9">
        <v>120</v>
      </c>
      <c r="L9" t="s">
        <v>10</v>
      </c>
    </row>
    <row r="10" spans="1:15" x14ac:dyDescent="0.3">
      <c r="A10" s="1"/>
      <c r="H10" s="1">
        <v>45660</v>
      </c>
      <c r="I10" t="s">
        <v>11</v>
      </c>
      <c r="J10" t="s">
        <v>12</v>
      </c>
      <c r="K10">
        <v>2500</v>
      </c>
      <c r="L10" t="s">
        <v>13</v>
      </c>
    </row>
    <row r="11" spans="1:15" x14ac:dyDescent="0.3">
      <c r="A11" s="1"/>
      <c r="H11" s="1">
        <v>45661</v>
      </c>
      <c r="I11" t="s">
        <v>14</v>
      </c>
      <c r="J11" t="s">
        <v>15</v>
      </c>
      <c r="K11">
        <v>3000</v>
      </c>
      <c r="L11" t="s">
        <v>13</v>
      </c>
    </row>
    <row r="12" spans="1:15" x14ac:dyDescent="0.3">
      <c r="A12" s="1"/>
      <c r="H12" s="1">
        <v>45662</v>
      </c>
      <c r="I12" t="s">
        <v>16</v>
      </c>
      <c r="J12" t="s">
        <v>17</v>
      </c>
      <c r="K12">
        <v>800</v>
      </c>
      <c r="L12" t="s">
        <v>7</v>
      </c>
    </row>
    <row r="13" spans="1:15" x14ac:dyDescent="0.3">
      <c r="A13" s="1"/>
      <c r="H13" s="1">
        <v>45663</v>
      </c>
      <c r="I13" t="s">
        <v>5</v>
      </c>
      <c r="J13" t="s">
        <v>18</v>
      </c>
      <c r="K13">
        <v>600</v>
      </c>
      <c r="L13" t="s">
        <v>10</v>
      </c>
    </row>
    <row r="14" spans="1:15" x14ac:dyDescent="0.3">
      <c r="A14" s="1"/>
      <c r="H14" s="1">
        <v>45664</v>
      </c>
      <c r="I14" t="s">
        <v>8</v>
      </c>
      <c r="J14" t="s">
        <v>19</v>
      </c>
      <c r="K14">
        <v>200</v>
      </c>
      <c r="L14" t="s">
        <v>7</v>
      </c>
    </row>
    <row r="15" spans="1:15" x14ac:dyDescent="0.3">
      <c r="A15" s="1"/>
      <c r="H15" s="1">
        <v>45665</v>
      </c>
      <c r="I15" t="s">
        <v>5</v>
      </c>
      <c r="J15" t="s">
        <v>20</v>
      </c>
      <c r="K15">
        <v>150</v>
      </c>
      <c r="L15" t="s">
        <v>10</v>
      </c>
    </row>
    <row r="16" spans="1:15" x14ac:dyDescent="0.3">
      <c r="A16" s="1"/>
      <c r="H16" s="1">
        <v>45666</v>
      </c>
      <c r="I16" t="s">
        <v>14</v>
      </c>
      <c r="J16" t="s">
        <v>21</v>
      </c>
      <c r="K16">
        <v>2200</v>
      </c>
      <c r="L16" t="s">
        <v>13</v>
      </c>
    </row>
    <row r="17" spans="1:12" x14ac:dyDescent="0.3">
      <c r="A17" s="1"/>
      <c r="H17" s="1">
        <v>45667</v>
      </c>
      <c r="I17" t="s">
        <v>11</v>
      </c>
      <c r="J17" t="s">
        <v>22</v>
      </c>
      <c r="K17">
        <v>1800</v>
      </c>
      <c r="L17" t="s">
        <v>7</v>
      </c>
    </row>
    <row r="18" spans="1:12" x14ac:dyDescent="0.3">
      <c r="A18" s="1"/>
      <c r="H18" s="1">
        <v>45668</v>
      </c>
      <c r="I18" t="s">
        <v>5</v>
      </c>
      <c r="J18" t="s">
        <v>23</v>
      </c>
      <c r="K18">
        <v>300</v>
      </c>
      <c r="L18" t="s">
        <v>7</v>
      </c>
    </row>
    <row r="19" spans="1:12" x14ac:dyDescent="0.3">
      <c r="A19" s="1"/>
      <c r="H19" s="1">
        <v>45669</v>
      </c>
      <c r="I19" t="s">
        <v>8</v>
      </c>
      <c r="J19" t="s">
        <v>24</v>
      </c>
      <c r="K19">
        <v>900</v>
      </c>
      <c r="L19" t="s">
        <v>10</v>
      </c>
    </row>
    <row r="20" spans="1:12" x14ac:dyDescent="0.3">
      <c r="A20" s="1"/>
      <c r="H20" s="1">
        <v>45670</v>
      </c>
      <c r="I20" t="s">
        <v>16</v>
      </c>
      <c r="J20" t="s">
        <v>25</v>
      </c>
      <c r="K20">
        <v>400</v>
      </c>
      <c r="L20" t="s">
        <v>7</v>
      </c>
    </row>
    <row r="21" spans="1:12" x14ac:dyDescent="0.3">
      <c r="A21" s="1"/>
      <c r="H21" s="1">
        <v>45671</v>
      </c>
      <c r="I21" t="s">
        <v>5</v>
      </c>
      <c r="J21" t="s">
        <v>26</v>
      </c>
      <c r="K21">
        <v>1200</v>
      </c>
      <c r="L21" t="s">
        <v>13</v>
      </c>
    </row>
    <row r="22" spans="1:12" x14ac:dyDescent="0.3">
      <c r="H22" s="1">
        <v>45672</v>
      </c>
      <c r="I22" t="s">
        <v>14</v>
      </c>
      <c r="J22" t="s">
        <v>27</v>
      </c>
      <c r="K22">
        <v>1500</v>
      </c>
      <c r="L22" t="s">
        <v>13</v>
      </c>
    </row>
    <row r="23" spans="1:12" x14ac:dyDescent="0.3">
      <c r="H23" s="1">
        <v>45673</v>
      </c>
      <c r="I23" t="s">
        <v>11</v>
      </c>
      <c r="J23" t="s">
        <v>28</v>
      </c>
      <c r="K23">
        <v>700</v>
      </c>
      <c r="L23" t="s">
        <v>7</v>
      </c>
    </row>
    <row r="24" spans="1:12" x14ac:dyDescent="0.3">
      <c r="H24" s="1">
        <v>45674</v>
      </c>
      <c r="I24" t="s">
        <v>8</v>
      </c>
      <c r="J24" t="s">
        <v>29</v>
      </c>
      <c r="K24">
        <v>1300</v>
      </c>
      <c r="L24" t="s">
        <v>10</v>
      </c>
    </row>
    <row r="25" spans="1:12" x14ac:dyDescent="0.3">
      <c r="H25" s="1">
        <v>45675</v>
      </c>
      <c r="I25" t="s">
        <v>5</v>
      </c>
      <c r="J25" t="s">
        <v>18</v>
      </c>
      <c r="K25">
        <v>650</v>
      </c>
      <c r="L25" t="s">
        <v>10</v>
      </c>
    </row>
    <row r="26" spans="1:12" x14ac:dyDescent="0.3">
      <c r="H26" s="1">
        <v>45676</v>
      </c>
      <c r="I26" t="s">
        <v>16</v>
      </c>
      <c r="J26" t="s">
        <v>30</v>
      </c>
      <c r="K26">
        <v>1000</v>
      </c>
      <c r="L26" t="s">
        <v>7</v>
      </c>
    </row>
    <row r="27" spans="1:12" x14ac:dyDescent="0.3">
      <c r="H27" s="1">
        <v>45677</v>
      </c>
      <c r="I27" t="s">
        <v>5</v>
      </c>
      <c r="J27" t="s">
        <v>31</v>
      </c>
      <c r="K27">
        <v>2800</v>
      </c>
      <c r="L27" t="s">
        <v>13</v>
      </c>
    </row>
    <row r="29" spans="1:12" x14ac:dyDescent="0.3">
      <c r="H29">
        <f>SUMIF(Expenses!I:I,"Food",Expenses!K:K)</f>
        <v>6200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4" x14ac:dyDescent="0.3"/>
  <sheetData>
    <row r="1" spans="1:4" x14ac:dyDescent="0.3">
      <c r="A1" t="s">
        <v>1</v>
      </c>
      <c r="B1" t="s">
        <v>32</v>
      </c>
      <c r="C1" t="s">
        <v>33</v>
      </c>
      <c r="D1" t="s">
        <v>34</v>
      </c>
    </row>
    <row r="2" spans="1:4" x14ac:dyDescent="0.3">
      <c r="A2" t="s">
        <v>5</v>
      </c>
      <c r="B2">
        <v>3000</v>
      </c>
      <c r="C2">
        <f>SUMIF(Expenses!B:B,"Food",Expenses!D:D)</f>
        <v>0</v>
      </c>
      <c r="D2">
        <f>B2-C2</f>
        <v>3000</v>
      </c>
    </row>
    <row r="3" spans="1:4" x14ac:dyDescent="0.3">
      <c r="A3" t="s">
        <v>8</v>
      </c>
      <c r="B3">
        <v>3000</v>
      </c>
      <c r="C3">
        <f>SUMIF(Expenses!B:B,"Travel",Expenses!D:D)</f>
        <v>0</v>
      </c>
      <c r="D3">
        <f>B3-C3</f>
        <v>3000</v>
      </c>
    </row>
    <row r="4" spans="1:4" x14ac:dyDescent="0.3">
      <c r="A4" t="s">
        <v>11</v>
      </c>
      <c r="B4">
        <v>3000</v>
      </c>
      <c r="C4">
        <f>SUMIF(Expenses!B:B,"Fees",Expenses!D:D)</f>
        <v>0</v>
      </c>
      <c r="D4">
        <f>B4-C4</f>
        <v>3000</v>
      </c>
    </row>
    <row r="5" spans="1:4" x14ac:dyDescent="0.3">
      <c r="A5" t="s">
        <v>14</v>
      </c>
      <c r="B5">
        <v>3000</v>
      </c>
      <c r="C5">
        <f>SUMIF(Expenses!B:B,"Shopping",Expenses!D:D)</f>
        <v>0</v>
      </c>
      <c r="D5">
        <f>B5-C5</f>
        <v>3000</v>
      </c>
    </row>
    <row r="6" spans="1:4" x14ac:dyDescent="0.3">
      <c r="A6" t="s">
        <v>16</v>
      </c>
      <c r="B6">
        <v>3000</v>
      </c>
      <c r="C6">
        <f>SUMIF(Expenses!B:B,"Other",Expenses!D:D)</f>
        <v>0</v>
      </c>
      <c r="D6">
        <f>B6-C6</f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</vt:lpstr>
      <vt:lpstr>Budget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kumaranirudh0309@gmail.com</cp:lastModifiedBy>
  <dcterms:created xsi:type="dcterms:W3CDTF">2026-01-01T18:49:07Z</dcterms:created>
  <dcterms:modified xsi:type="dcterms:W3CDTF">2026-01-02T03:39:31Z</dcterms:modified>
</cp:coreProperties>
</file>